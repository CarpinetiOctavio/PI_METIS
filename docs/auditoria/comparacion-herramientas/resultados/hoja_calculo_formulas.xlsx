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_01" sheetId="1" state="visible" r:id="rId1"/>
    <sheet name="est_02" sheetId="2" state="visible" r:id="rId2"/>
    <sheet name="est_03" sheetId="3" state="visible" r:id="rId3"/>
    <sheet name="est_04" sheetId="4" state="visible" r:id="rId4"/>
    <sheet name="est_05" sheetId="5" state="visible" r:id="rId5"/>
    <sheet name="est_06" sheetId="6" state="visible" r:id="rId6"/>
    <sheet name="est_07" sheetId="7" state="visible" r:id="rId7"/>
    <sheet name="est_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AVERAGE(A2:A41)</f>
        <v/>
      </c>
    </row>
    <row r="2">
      <c r="A2" t="n">
        <v>207</v>
      </c>
      <c r="C2" t="inlineStr">
        <is>
          <t>desvio_s</t>
        </is>
      </c>
      <c r="D2">
        <f>_xlfn.STDEV.S(A2:A41)</f>
        <v/>
      </c>
    </row>
    <row r="3">
      <c r="A3" t="n">
        <v>158</v>
      </c>
      <c r="C3" t="inlineStr">
        <is>
          <t>asimetria_skew</t>
        </is>
      </c>
      <c r="D3">
        <f>SKEW(A2:A41)</f>
        <v/>
      </c>
    </row>
    <row r="4">
      <c r="A4" t="n">
        <v>129</v>
      </c>
      <c r="C4" t="inlineStr">
        <is>
          <t>curtosis_kurt</t>
        </is>
      </c>
      <c r="D4">
        <f>KURT(A2:A41)</f>
        <v/>
      </c>
    </row>
    <row r="5">
      <c r="A5" t="n">
        <v>258</v>
      </c>
      <c r="C5" t="inlineStr">
        <is>
          <t>correl_lag1</t>
        </is>
      </c>
      <c r="D5">
        <f>CORREL(A2:A40,A3:A41)</f>
        <v/>
      </c>
    </row>
    <row r="6">
      <c r="A6" t="n">
        <v>236</v>
      </c>
      <c r="C6" t="inlineStr">
        <is>
          <t>ttest_p</t>
        </is>
      </c>
      <c r="D6">
        <f>_xlfn.T.TEST(A2:A21,A22:A41,2,2)</f>
        <v/>
      </c>
    </row>
    <row r="7">
      <c r="A7" t="n">
        <v>410</v>
      </c>
      <c r="C7" t="inlineStr">
        <is>
          <t>mu_y</t>
        </is>
      </c>
      <c r="D7">
        <f>SUMPRODUCT(LN(A2:A41))/40</f>
        <v/>
      </c>
    </row>
    <row r="8">
      <c r="A8" t="n">
        <v>245</v>
      </c>
      <c r="C8" t="inlineStr">
        <is>
          <t>sigma_y</t>
        </is>
      </c>
      <c r="D8">
        <f>SQRT(SUMPRODUCT((LN(A2:A41)-SUMPRODUCT(LN(A2:A41))/40)^2)/39)</f>
        <v/>
      </c>
    </row>
    <row r="9">
      <c r="A9" t="n">
        <v>219</v>
      </c>
      <c r="C9" t="inlineStr">
        <is>
          <t>normal_T2</t>
        </is>
      </c>
      <c r="D9">
        <f>_xlfn.NORM.INV(0.5,D1,D2)</f>
        <v/>
      </c>
    </row>
    <row r="10">
      <c r="A10" t="n">
        <v>359</v>
      </c>
      <c r="C10" t="inlineStr">
        <is>
          <t>lognormal2p_T2</t>
        </is>
      </c>
      <c r="D10">
        <f>_xlfn.LOGNORM.INV(0.5,D7,D8)</f>
        <v/>
      </c>
    </row>
    <row r="11">
      <c r="A11" t="n">
        <v>118</v>
      </c>
      <c r="C11" t="inlineStr">
        <is>
          <t>gamma2p_T2</t>
        </is>
      </c>
      <c r="D11">
        <f>_xlfn.GAMMA.INV(0.5,(D1/D2)^2,D2^2/D1)</f>
        <v/>
      </c>
    </row>
    <row r="12">
      <c r="A12" t="n">
        <v>290</v>
      </c>
      <c r="C12" t="inlineStr">
        <is>
          <t>gumbel_T2</t>
        </is>
      </c>
      <c r="D12">
        <f>(D1-0.45*D2)-0.78*D2*LN(-LN(0.5))</f>
        <v/>
      </c>
    </row>
    <row r="13">
      <c r="A13" t="n">
        <v>79</v>
      </c>
      <c r="C13" t="inlineStr">
        <is>
          <t>normal_T10</t>
        </is>
      </c>
      <c r="D13">
        <f>_xlfn.NORM.INV(0.9,D1,D2)</f>
        <v/>
      </c>
    </row>
    <row r="14">
      <c r="A14" t="n">
        <v>126</v>
      </c>
      <c r="C14" t="inlineStr">
        <is>
          <t>lognormal2p_T10</t>
        </is>
      </c>
      <c r="D14">
        <f>_xlfn.LOGNORM.INV(0.9,D7,D8)</f>
        <v/>
      </c>
    </row>
    <row r="15">
      <c r="A15" t="n">
        <v>141</v>
      </c>
      <c r="C15" t="inlineStr">
        <is>
          <t>gamma2p_T10</t>
        </is>
      </c>
      <c r="D15">
        <f>_xlfn.GAMMA.INV(0.9,(D1/D2)^2,D2^2/D1)</f>
        <v/>
      </c>
    </row>
    <row r="16">
      <c r="A16" t="n">
        <v>225</v>
      </c>
      <c r="C16" t="inlineStr">
        <is>
          <t>gumbel_T10</t>
        </is>
      </c>
      <c r="D16">
        <f>(D1-0.45*D2)-0.78*D2*LN(-LN(0.9))</f>
        <v/>
      </c>
    </row>
    <row r="17">
      <c r="A17" t="n">
        <v>235</v>
      </c>
      <c r="C17" t="inlineStr">
        <is>
          <t>normal_T100</t>
        </is>
      </c>
      <c r="D17">
        <f>_xlfn.NORM.INV(0.99,D1,D2)</f>
        <v/>
      </c>
    </row>
    <row r="18">
      <c r="A18" t="n">
        <v>356</v>
      </c>
      <c r="C18" t="inlineStr">
        <is>
          <t>lognormal2p_T100</t>
        </is>
      </c>
      <c r="D18">
        <f>_xlfn.LOGNORM.INV(0.99,D7,D8)</f>
        <v/>
      </c>
    </row>
    <row r="19">
      <c r="A19" t="n">
        <v>155</v>
      </c>
      <c r="C19" t="inlineStr">
        <is>
          <t>gamma2p_T100</t>
        </is>
      </c>
      <c r="D19">
        <f>_xlfn.GAMMA.INV(0.99,(D1/D2)^2,D2^2/D1)</f>
        <v/>
      </c>
    </row>
    <row r="20">
      <c r="A20" t="n">
        <v>356</v>
      </c>
      <c r="C20" t="inlineStr">
        <is>
          <t>gumbel_T100</t>
        </is>
      </c>
      <c r="D20">
        <f>(D1-0.45*D2)-0.78*D2*LN(-LN(0.99))</f>
        <v/>
      </c>
    </row>
    <row r="21">
      <c r="A21" t="n">
        <v>356</v>
      </c>
    </row>
    <row r="22">
      <c r="A22" t="n">
        <v>61</v>
      </c>
    </row>
    <row r="23">
      <c r="A23" t="n">
        <v>58</v>
      </c>
    </row>
    <row r="24">
      <c r="A24" t="n">
        <v>148</v>
      </c>
    </row>
    <row r="25">
      <c r="A25" t="n">
        <v>57</v>
      </c>
    </row>
    <row r="26">
      <c r="A26" t="n">
        <v>62</v>
      </c>
    </row>
    <row r="27">
      <c r="A27" t="n">
        <v>57</v>
      </c>
    </row>
    <row r="28">
      <c r="A28" t="n">
        <v>26</v>
      </c>
    </row>
    <row r="29">
      <c r="A29" t="n">
        <v>47</v>
      </c>
    </row>
    <row r="30">
      <c r="A30" t="n">
        <v>25</v>
      </c>
    </row>
    <row r="31">
      <c r="A31" t="n">
        <v>61</v>
      </c>
    </row>
    <row r="32">
      <c r="A32" t="n">
        <v>37</v>
      </c>
    </row>
    <row r="33">
      <c r="A33" t="n">
        <v>36</v>
      </c>
    </row>
    <row r="34">
      <c r="A34" t="n">
        <v>22</v>
      </c>
    </row>
    <row r="35">
      <c r="A35" t="n">
        <v>43</v>
      </c>
    </row>
    <row r="36">
      <c r="A36" t="n">
        <v>35</v>
      </c>
    </row>
    <row r="37">
      <c r="A37" t="n">
        <v>22</v>
      </c>
    </row>
    <row r="38">
      <c r="A38" t="n">
        <v>15</v>
      </c>
    </row>
    <row r="39">
      <c r="A39" t="n">
        <v>19</v>
      </c>
    </row>
    <row r="40">
      <c r="A40" t="n">
        <v>143</v>
      </c>
    </row>
    <row r="41">
      <c r="A41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AVERAGE(A2:A25)</f>
        <v/>
      </c>
    </row>
    <row r="2">
      <c r="A2" t="n">
        <v>98</v>
      </c>
      <c r="C2" t="inlineStr">
        <is>
          <t>desvio_s</t>
        </is>
      </c>
      <c r="D2">
        <f>_xlfn.STDEV.S(A2:A25)</f>
        <v/>
      </c>
    </row>
    <row r="3">
      <c r="A3" t="n">
        <v>44</v>
      </c>
      <c r="C3" t="inlineStr">
        <is>
          <t>asimetria_skew</t>
        </is>
      </c>
      <c r="D3">
        <f>SKEW(A2:A25)</f>
        <v/>
      </c>
    </row>
    <row r="4">
      <c r="A4" t="n">
        <v>97</v>
      </c>
      <c r="C4" t="inlineStr">
        <is>
          <t>curtosis_kurt</t>
        </is>
      </c>
      <c r="D4">
        <f>KURT(A2:A25)</f>
        <v/>
      </c>
    </row>
    <row r="5">
      <c r="A5" t="n">
        <v>52</v>
      </c>
      <c r="C5" t="inlineStr">
        <is>
          <t>correl_lag1</t>
        </is>
      </c>
      <c r="D5">
        <f>CORREL(A2:A24,A3:A25)</f>
        <v/>
      </c>
    </row>
    <row r="6">
      <c r="A6" t="n">
        <v>90</v>
      </c>
      <c r="C6" t="inlineStr">
        <is>
          <t>ttest_p</t>
        </is>
      </c>
      <c r="D6">
        <f>_xlfn.T.TEST(A2:A13,A14:A25,2,2)</f>
        <v/>
      </c>
    </row>
    <row r="7">
      <c r="A7" t="n">
        <v>247</v>
      </c>
      <c r="C7" t="inlineStr">
        <is>
          <t>mu_y</t>
        </is>
      </c>
      <c r="D7">
        <f>SUMPRODUCT(LN(A2:A25))/24</f>
        <v/>
      </c>
    </row>
    <row r="8">
      <c r="A8" t="n">
        <v>191</v>
      </c>
      <c r="C8" t="inlineStr">
        <is>
          <t>sigma_y</t>
        </is>
      </c>
      <c r="D8">
        <f>SQRT(SUMPRODUCT((LN(A2:A25)-SUMPRODUCT(LN(A2:A25))/24)^2)/23)</f>
        <v/>
      </c>
    </row>
    <row r="9">
      <c r="A9" t="n">
        <v>54</v>
      </c>
      <c r="C9" t="inlineStr">
        <is>
          <t>normal_T2</t>
        </is>
      </c>
      <c r="D9">
        <f>_xlfn.NORM.INV(0.5,D1,D2)</f>
        <v/>
      </c>
    </row>
    <row r="10">
      <c r="A10" t="n">
        <v>112</v>
      </c>
      <c r="C10" t="inlineStr">
        <is>
          <t>lognormal2p_T2</t>
        </is>
      </c>
      <c r="D10">
        <f>_xlfn.LOGNORM.INV(0.5,D7,D8)</f>
        <v/>
      </c>
    </row>
    <row r="11">
      <c r="A11" t="n">
        <v>42</v>
      </c>
      <c r="C11" t="inlineStr">
        <is>
          <t>gamma2p_T2</t>
        </is>
      </c>
      <c r="D11">
        <f>_xlfn.GAMMA.INV(0.5,(D1/D2)^2,D2^2/D1)</f>
        <v/>
      </c>
    </row>
    <row r="12">
      <c r="A12" t="n">
        <v>60</v>
      </c>
      <c r="C12" t="inlineStr">
        <is>
          <t>gumbel_T2</t>
        </is>
      </c>
      <c r="D12">
        <f>(D1-0.45*D2)-0.78*D2*LN(-LN(0.5))</f>
        <v/>
      </c>
    </row>
    <row r="13">
      <c r="A13" t="n">
        <v>157</v>
      </c>
      <c r="C13" t="inlineStr">
        <is>
          <t>normal_T10</t>
        </is>
      </c>
      <c r="D13">
        <f>_xlfn.NORM.INV(0.9,D1,D2)</f>
        <v/>
      </c>
    </row>
    <row r="14">
      <c r="A14" t="n">
        <v>61</v>
      </c>
      <c r="C14" t="inlineStr">
        <is>
          <t>lognormal2p_T10</t>
        </is>
      </c>
      <c r="D14">
        <f>_xlfn.LOGNORM.INV(0.9,D7,D8)</f>
        <v/>
      </c>
    </row>
    <row r="15">
      <c r="A15" t="n">
        <v>45</v>
      </c>
      <c r="C15" t="inlineStr">
        <is>
          <t>gamma2p_T10</t>
        </is>
      </c>
      <c r="D15">
        <f>_xlfn.GAMMA.INV(0.9,(D1/D2)^2,D2^2/D1)</f>
        <v/>
      </c>
    </row>
    <row r="16">
      <c r="A16" t="n">
        <v>91</v>
      </c>
      <c r="C16" t="inlineStr">
        <is>
          <t>gumbel_T10</t>
        </is>
      </c>
      <c r="D16">
        <f>(D1-0.45*D2)-0.78*D2*LN(-LN(0.9))</f>
        <v/>
      </c>
    </row>
    <row r="17">
      <c r="A17" t="n">
        <v>257</v>
      </c>
      <c r="C17" t="inlineStr">
        <is>
          <t>normal_T100</t>
        </is>
      </c>
      <c r="D17">
        <f>_xlfn.NORM.INV(0.99,D1,D2)</f>
        <v/>
      </c>
    </row>
    <row r="18">
      <c r="A18" t="n">
        <v>458</v>
      </c>
      <c r="C18" t="inlineStr">
        <is>
          <t>lognormal2p_T100</t>
        </is>
      </c>
      <c r="D18">
        <f>_xlfn.LOGNORM.INV(0.99,D7,D8)</f>
        <v/>
      </c>
    </row>
    <row r="19">
      <c r="A19" t="n">
        <v>381</v>
      </c>
      <c r="C19" t="inlineStr">
        <is>
          <t>gamma2p_T100</t>
        </is>
      </c>
      <c r="D19">
        <f>_xlfn.GAMMA.INV(0.99,(D1/D2)^2,D2^2/D1)</f>
        <v/>
      </c>
    </row>
    <row r="20">
      <c r="A20" t="n">
        <v>251</v>
      </c>
      <c r="C20" t="inlineStr">
        <is>
          <t>gumbel_T100</t>
        </is>
      </c>
      <c r="D20">
        <f>(D1-0.45*D2)-0.78*D2*LN(-LN(0.99))</f>
        <v/>
      </c>
    </row>
    <row r="21">
      <c r="A21" t="n">
        <v>151</v>
      </c>
    </row>
    <row r="22">
      <c r="A22" t="n">
        <v>122</v>
      </c>
    </row>
    <row r="23">
      <c r="A23" t="n">
        <v>58</v>
      </c>
    </row>
    <row r="24">
      <c r="A24" t="n">
        <v>145</v>
      </c>
    </row>
    <row r="25">
      <c r="A25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AVERAGE(A2:A42)</f>
        <v/>
      </c>
    </row>
    <row r="2">
      <c r="A2" t="n">
        <v>114</v>
      </c>
      <c r="C2" t="inlineStr">
        <is>
          <t>desvio_s</t>
        </is>
      </c>
      <c r="D2">
        <f>_xlfn.STDEV.S(A2:A42)</f>
        <v/>
      </c>
    </row>
    <row r="3">
      <c r="A3" t="n">
        <v>50</v>
      </c>
      <c r="C3" t="inlineStr">
        <is>
          <t>asimetria_skew</t>
        </is>
      </c>
      <c r="D3">
        <f>SKEW(A2:A42)</f>
        <v/>
      </c>
    </row>
    <row r="4">
      <c r="A4" t="n">
        <v>54</v>
      </c>
      <c r="C4" t="inlineStr">
        <is>
          <t>curtosis_kurt</t>
        </is>
      </c>
      <c r="D4">
        <f>KURT(A2:A42)</f>
        <v/>
      </c>
    </row>
    <row r="5">
      <c r="A5" t="n">
        <v>105</v>
      </c>
      <c r="C5" t="inlineStr">
        <is>
          <t>correl_lag1</t>
        </is>
      </c>
      <c r="D5">
        <f>CORREL(A2:A41,A3:A42)</f>
        <v/>
      </c>
    </row>
    <row r="6">
      <c r="A6" t="n">
        <v>45</v>
      </c>
      <c r="C6" t="inlineStr">
        <is>
          <t>ttest_p</t>
        </is>
      </c>
      <c r="D6">
        <f>_xlfn.T.TEST(A2:A21,A22:A42,2,2)</f>
        <v/>
      </c>
    </row>
    <row r="7">
      <c r="A7" t="n">
        <v>126</v>
      </c>
      <c r="C7" t="inlineStr">
        <is>
          <t>mu_y</t>
        </is>
      </c>
      <c r="D7">
        <f>SUMPRODUCT(LN(A2:A42))/41</f>
        <v/>
      </c>
    </row>
    <row r="8">
      <c r="A8" t="n">
        <v>14</v>
      </c>
      <c r="C8" t="inlineStr">
        <is>
          <t>sigma_y</t>
        </is>
      </c>
      <c r="D8">
        <f>SQRT(SUMPRODUCT((LN(A2:A42)-SUMPRODUCT(LN(A2:A42))/41)^2)/40)</f>
        <v/>
      </c>
    </row>
    <row r="9">
      <c r="A9" t="n">
        <v>45</v>
      </c>
      <c r="C9" t="inlineStr">
        <is>
          <t>normal_T2</t>
        </is>
      </c>
      <c r="D9">
        <f>_xlfn.NORM.INV(0.5,D1,D2)</f>
        <v/>
      </c>
    </row>
    <row r="10">
      <c r="A10" t="n">
        <v>14</v>
      </c>
      <c r="C10" t="inlineStr">
        <is>
          <t>lognormal2p_T2</t>
        </is>
      </c>
      <c r="D10">
        <f>_xlfn.LOGNORM.INV(0.5,D7,D8)</f>
        <v/>
      </c>
    </row>
    <row r="11">
      <c r="A11" t="n">
        <v>20</v>
      </c>
      <c r="C11" t="inlineStr">
        <is>
          <t>gamma2p_T2</t>
        </is>
      </c>
      <c r="D11">
        <f>_xlfn.GAMMA.INV(0.5,(D1/D2)^2,D2^2/D1)</f>
        <v/>
      </c>
    </row>
    <row r="12">
      <c r="A12" t="n">
        <v>34</v>
      </c>
      <c r="C12" t="inlineStr">
        <is>
          <t>gumbel_T2</t>
        </is>
      </c>
      <c r="D12">
        <f>(D1-0.45*D2)-0.78*D2*LN(-LN(0.5))</f>
        <v/>
      </c>
    </row>
    <row r="13">
      <c r="A13" t="n">
        <v>47</v>
      </c>
      <c r="C13" t="inlineStr">
        <is>
          <t>normal_T10</t>
        </is>
      </c>
      <c r="D13">
        <f>_xlfn.NORM.INV(0.9,D1,D2)</f>
        <v/>
      </c>
    </row>
    <row r="14">
      <c r="A14" t="n">
        <v>3</v>
      </c>
      <c r="C14" t="inlineStr">
        <is>
          <t>lognormal2p_T10</t>
        </is>
      </c>
      <c r="D14">
        <f>_xlfn.LOGNORM.INV(0.9,D7,D8)</f>
        <v/>
      </c>
    </row>
    <row r="15">
      <c r="A15" t="n">
        <v>32</v>
      </c>
      <c r="C15" t="inlineStr">
        <is>
          <t>gamma2p_T10</t>
        </is>
      </c>
      <c r="D15">
        <f>_xlfn.GAMMA.INV(0.9,(D1/D2)^2,D2^2/D1)</f>
        <v/>
      </c>
    </row>
    <row r="16">
      <c r="A16" t="n">
        <v>32</v>
      </c>
      <c r="C16" t="inlineStr">
        <is>
          <t>gumbel_T10</t>
        </is>
      </c>
      <c r="D16">
        <f>(D1-0.45*D2)-0.78*D2*LN(-LN(0.9))</f>
        <v/>
      </c>
    </row>
    <row r="17">
      <c r="A17" t="n">
        <v>179</v>
      </c>
      <c r="C17" t="inlineStr">
        <is>
          <t>normal_T100</t>
        </is>
      </c>
      <c r="D17">
        <f>_xlfn.NORM.INV(0.99,D1,D2)</f>
        <v/>
      </c>
    </row>
    <row r="18">
      <c r="A18" t="n">
        <v>42</v>
      </c>
      <c r="C18" t="inlineStr">
        <is>
          <t>lognormal2p_T100</t>
        </is>
      </c>
      <c r="D18">
        <f>_xlfn.LOGNORM.INV(0.99,D7,D8)</f>
        <v/>
      </c>
    </row>
    <row r="19">
      <c r="A19" t="n">
        <v>402</v>
      </c>
      <c r="C19" t="inlineStr">
        <is>
          <t>gamma2p_T100</t>
        </is>
      </c>
      <c r="D19">
        <f>_xlfn.GAMMA.INV(0.99,(D1/D2)^2,D2^2/D1)</f>
        <v/>
      </c>
    </row>
    <row r="20">
      <c r="A20" t="n">
        <v>314</v>
      </c>
      <c r="C20" t="inlineStr">
        <is>
          <t>gumbel_T100</t>
        </is>
      </c>
      <c r="D20">
        <f>(D1-0.45*D2)-0.78*D2*LN(-LN(0.99))</f>
        <v/>
      </c>
    </row>
    <row r="21">
      <c r="A21" t="n">
        <v>36</v>
      </c>
    </row>
    <row r="22">
      <c r="A22" t="n">
        <v>47</v>
      </c>
    </row>
    <row r="23">
      <c r="A23" t="n">
        <v>21</v>
      </c>
    </row>
    <row r="24">
      <c r="A24" t="n">
        <v>44</v>
      </c>
    </row>
    <row r="25">
      <c r="A25" t="n">
        <v>19</v>
      </c>
    </row>
    <row r="26">
      <c r="A26" t="n">
        <v>32</v>
      </c>
    </row>
    <row r="27">
      <c r="A27" t="n">
        <v>58</v>
      </c>
    </row>
    <row r="28">
      <c r="A28" t="n">
        <v>83</v>
      </c>
    </row>
    <row r="29">
      <c r="A29" t="n">
        <v>9</v>
      </c>
    </row>
    <row r="30">
      <c r="A30" t="n">
        <v>13</v>
      </c>
    </row>
    <row r="31">
      <c r="A31" t="n">
        <v>28</v>
      </c>
    </row>
    <row r="32">
      <c r="A32" t="n">
        <v>2</v>
      </c>
    </row>
    <row r="33">
      <c r="A33" t="n">
        <v>29</v>
      </c>
    </row>
    <row r="34">
      <c r="A34" t="n">
        <v>71</v>
      </c>
    </row>
    <row r="35">
      <c r="A35" t="n">
        <v>57</v>
      </c>
    </row>
    <row r="36">
      <c r="A36" t="n">
        <v>84</v>
      </c>
    </row>
    <row r="37">
      <c r="A37" t="n">
        <v>34</v>
      </c>
    </row>
    <row r="38">
      <c r="A38" t="n">
        <v>7</v>
      </c>
    </row>
    <row r="39">
      <c r="A39" t="n">
        <v>34</v>
      </c>
    </row>
    <row r="40">
      <c r="A40" t="n">
        <v>73</v>
      </c>
    </row>
    <row r="41">
      <c r="A41" t="n">
        <v>70</v>
      </c>
    </row>
    <row r="42">
      <c r="A4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AVERAGE(A2:A37)</f>
        <v/>
      </c>
    </row>
    <row r="2">
      <c r="A2" t="n">
        <v>12</v>
      </c>
      <c r="C2" t="inlineStr">
        <is>
          <t>desvio_s</t>
        </is>
      </c>
      <c r="D2">
        <f>_xlfn.STDEV.S(A2:A37)</f>
        <v/>
      </c>
    </row>
    <row r="3">
      <c r="A3" t="n">
        <v>100</v>
      </c>
      <c r="C3" t="inlineStr">
        <is>
          <t>asimetria_skew</t>
        </is>
      </c>
      <c r="D3">
        <f>SKEW(A2:A37)</f>
        <v/>
      </c>
    </row>
    <row r="4">
      <c r="A4" t="n">
        <v>12</v>
      </c>
      <c r="C4" t="inlineStr">
        <is>
          <t>curtosis_kurt</t>
        </is>
      </c>
      <c r="D4">
        <f>KURT(A2:A37)</f>
        <v/>
      </c>
    </row>
    <row r="5">
      <c r="A5" t="n">
        <v>10</v>
      </c>
      <c r="C5" t="inlineStr">
        <is>
          <t>correl_lag1</t>
        </is>
      </c>
      <c r="D5">
        <f>CORREL(A2:A36,A3:A37)</f>
        <v/>
      </c>
    </row>
    <row r="6">
      <c r="A6" t="n">
        <v>32</v>
      </c>
      <c r="C6" t="inlineStr">
        <is>
          <t>ttest_p</t>
        </is>
      </c>
      <c r="D6">
        <f>_xlfn.T.TEST(A2:A19,A20:A37,2,2)</f>
        <v/>
      </c>
    </row>
    <row r="7">
      <c r="A7" t="n">
        <v>32</v>
      </c>
      <c r="C7" t="inlineStr">
        <is>
          <t>mu_y</t>
        </is>
      </c>
      <c r="D7">
        <f>SUMPRODUCT(LN(A2:A37))/36</f>
        <v/>
      </c>
    </row>
    <row r="8">
      <c r="A8" t="n">
        <v>18</v>
      </c>
      <c r="C8" t="inlineStr">
        <is>
          <t>sigma_y</t>
        </is>
      </c>
      <c r="D8">
        <f>SQRT(SUMPRODUCT((LN(A2:A37)-SUMPRODUCT(LN(A2:A37))/36)^2)/35)</f>
        <v/>
      </c>
    </row>
    <row r="9">
      <c r="A9" t="n">
        <v>42</v>
      </c>
      <c r="C9" t="inlineStr">
        <is>
          <t>normal_T2</t>
        </is>
      </c>
      <c r="D9">
        <f>_xlfn.NORM.INV(0.5,D1,D2)</f>
        <v/>
      </c>
    </row>
    <row r="10">
      <c r="A10" t="n">
        <v>29</v>
      </c>
      <c r="C10" t="inlineStr">
        <is>
          <t>lognormal2p_T2</t>
        </is>
      </c>
      <c r="D10">
        <f>_xlfn.LOGNORM.INV(0.5,D7,D8)</f>
        <v/>
      </c>
    </row>
    <row r="11">
      <c r="A11" t="n">
        <v>3</v>
      </c>
      <c r="C11" t="inlineStr">
        <is>
          <t>gamma2p_T2</t>
        </is>
      </c>
      <c r="D11">
        <f>_xlfn.GAMMA.INV(0.5,(D1/D2)^2,D2^2/D1)</f>
        <v/>
      </c>
    </row>
    <row r="12">
      <c r="A12" t="n">
        <v>57</v>
      </c>
      <c r="C12" t="inlineStr">
        <is>
          <t>gumbel_T2</t>
        </is>
      </c>
      <c r="D12">
        <f>(D1-0.45*D2)-0.78*D2*LN(-LN(0.5))</f>
        <v/>
      </c>
    </row>
    <row r="13">
      <c r="A13" t="n">
        <v>10</v>
      </c>
      <c r="C13" t="inlineStr">
        <is>
          <t>normal_T10</t>
        </is>
      </c>
      <c r="D13">
        <f>_xlfn.NORM.INV(0.9,D1,D2)</f>
        <v/>
      </c>
    </row>
    <row r="14">
      <c r="A14" t="n">
        <v>50</v>
      </c>
      <c r="C14" t="inlineStr">
        <is>
          <t>lognormal2p_T10</t>
        </is>
      </c>
      <c r="D14">
        <f>_xlfn.LOGNORM.INV(0.9,D7,D8)</f>
        <v/>
      </c>
    </row>
    <row r="15">
      <c r="A15" t="n">
        <v>10</v>
      </c>
      <c r="C15" t="inlineStr">
        <is>
          <t>gamma2p_T10</t>
        </is>
      </c>
      <c r="D15">
        <f>_xlfn.GAMMA.INV(0.9,(D1/D2)^2,D2^2/D1)</f>
        <v/>
      </c>
    </row>
    <row r="16">
      <c r="A16" t="n">
        <v>40</v>
      </c>
      <c r="C16" t="inlineStr">
        <is>
          <t>gumbel_T10</t>
        </is>
      </c>
      <c r="D16">
        <f>(D1-0.45*D2)-0.78*D2*LN(-LN(0.9))</f>
        <v/>
      </c>
    </row>
    <row r="17">
      <c r="A17" t="n">
        <v>36</v>
      </c>
      <c r="C17" t="inlineStr">
        <is>
          <t>normal_T100</t>
        </is>
      </c>
      <c r="D17">
        <f>_xlfn.NORM.INV(0.99,D1,D2)</f>
        <v/>
      </c>
    </row>
    <row r="18">
      <c r="A18" t="n">
        <v>20</v>
      </c>
      <c r="C18" t="inlineStr">
        <is>
          <t>lognormal2p_T100</t>
        </is>
      </c>
      <c r="D18">
        <f>_xlfn.LOGNORM.INV(0.99,D7,D8)</f>
        <v/>
      </c>
    </row>
    <row r="19">
      <c r="A19" t="n">
        <v>16</v>
      </c>
      <c r="C19" t="inlineStr">
        <is>
          <t>gamma2p_T100</t>
        </is>
      </c>
      <c r="D19">
        <f>_xlfn.GAMMA.INV(0.99,(D1/D2)^2,D2^2/D1)</f>
        <v/>
      </c>
    </row>
    <row r="20">
      <c r="A20" t="n">
        <v>10</v>
      </c>
      <c r="C20" t="inlineStr">
        <is>
          <t>gumbel_T100</t>
        </is>
      </c>
      <c r="D20">
        <f>(D1-0.45*D2)-0.78*D2*LN(-LN(0.99))</f>
        <v/>
      </c>
    </row>
    <row r="21">
      <c r="A21" t="n">
        <v>31</v>
      </c>
    </row>
    <row r="22">
      <c r="A22" t="n">
        <v>7</v>
      </c>
    </row>
    <row r="23">
      <c r="A23" t="n">
        <v>9</v>
      </c>
    </row>
    <row r="24">
      <c r="A24" t="n">
        <v>18</v>
      </c>
    </row>
    <row r="25">
      <c r="A25" t="n">
        <v>10</v>
      </c>
    </row>
    <row r="26">
      <c r="A26" t="n">
        <v>38</v>
      </c>
    </row>
    <row r="27">
      <c r="A27" t="n">
        <v>4</v>
      </c>
    </row>
    <row r="28">
      <c r="A28" t="n">
        <v>23</v>
      </c>
    </row>
    <row r="29">
      <c r="A29" t="n">
        <v>12</v>
      </c>
    </row>
    <row r="30">
      <c r="A30" t="n">
        <v>16</v>
      </c>
    </row>
    <row r="31">
      <c r="A31" t="n">
        <v>48</v>
      </c>
    </row>
    <row r="32">
      <c r="A32" t="n">
        <v>23</v>
      </c>
    </row>
    <row r="33">
      <c r="A33" t="n">
        <v>2</v>
      </c>
    </row>
    <row r="34">
      <c r="A34" t="n">
        <v>11</v>
      </c>
    </row>
    <row r="35">
      <c r="A35" t="n">
        <v>45</v>
      </c>
    </row>
    <row r="36">
      <c r="A36" t="n">
        <v>21</v>
      </c>
    </row>
    <row r="37">
      <c r="A3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AVERAGE(A2:A40)</f>
        <v/>
      </c>
    </row>
    <row r="2">
      <c r="A2" t="n">
        <v>7</v>
      </c>
      <c r="C2" t="inlineStr">
        <is>
          <t>desvio_s</t>
        </is>
      </c>
      <c r="D2">
        <f>_xlfn.STDEV.S(A2:A40)</f>
        <v/>
      </c>
    </row>
    <row r="3">
      <c r="A3" t="n">
        <v>104</v>
      </c>
      <c r="C3" t="inlineStr">
        <is>
          <t>asimetria_skew</t>
        </is>
      </c>
      <c r="D3">
        <f>SKEW(A2:A40)</f>
        <v/>
      </c>
    </row>
    <row r="4">
      <c r="A4" t="n">
        <v>17</v>
      </c>
      <c r="C4" t="inlineStr">
        <is>
          <t>curtosis_kurt</t>
        </is>
      </c>
      <c r="D4">
        <f>KURT(A2:A40)</f>
        <v/>
      </c>
    </row>
    <row r="5">
      <c r="A5" t="n">
        <v>90</v>
      </c>
      <c r="C5" t="inlineStr">
        <is>
          <t>correl_lag1</t>
        </is>
      </c>
      <c r="D5">
        <f>CORREL(A2:A39,A3:A40)</f>
        <v/>
      </c>
    </row>
    <row r="6">
      <c r="A6" t="n">
        <v>9.199999999999999</v>
      </c>
      <c r="C6" t="inlineStr">
        <is>
          <t>ttest_p</t>
        </is>
      </c>
      <c r="D6">
        <f>_xlfn.T.TEST(A2:A20,A21:A40,2,2)</f>
        <v/>
      </c>
    </row>
    <row r="7">
      <c r="A7" t="n">
        <v>149</v>
      </c>
      <c r="C7" t="inlineStr">
        <is>
          <t>mu_y</t>
        </is>
      </c>
      <c r="D7">
        <f>SUMPRODUCT(LN(A2:A40))/39</f>
        <v/>
      </c>
    </row>
    <row r="8">
      <c r="A8" t="n">
        <v>26</v>
      </c>
      <c r="C8" t="inlineStr">
        <is>
          <t>sigma_y</t>
        </is>
      </c>
      <c r="D8">
        <f>SQRT(SUMPRODUCT((LN(A2:A40)-SUMPRODUCT(LN(A2:A40))/39)^2)/38)</f>
        <v/>
      </c>
    </row>
    <row r="9">
      <c r="A9" t="n">
        <v>41.6</v>
      </c>
      <c r="C9" t="inlineStr">
        <is>
          <t>normal_T2</t>
        </is>
      </c>
      <c r="D9">
        <f>_xlfn.NORM.INV(0.5,D1,D2)</f>
        <v/>
      </c>
    </row>
    <row r="10">
      <c r="A10" t="n">
        <v>4</v>
      </c>
      <c r="C10" t="inlineStr">
        <is>
          <t>lognormal2p_T2</t>
        </is>
      </c>
      <c r="D10">
        <f>_xlfn.LOGNORM.INV(0.5,D7,D8)</f>
        <v/>
      </c>
    </row>
    <row r="11">
      <c r="A11" t="n">
        <v>34</v>
      </c>
      <c r="C11" t="inlineStr">
        <is>
          <t>gamma2p_T2</t>
        </is>
      </c>
      <c r="D11">
        <f>_xlfn.GAMMA.INV(0.5,(D1/D2)^2,D2^2/D1)</f>
        <v/>
      </c>
    </row>
    <row r="12">
      <c r="A12" t="n">
        <v>59</v>
      </c>
      <c r="C12" t="inlineStr">
        <is>
          <t>gumbel_T2</t>
        </is>
      </c>
      <c r="D12">
        <f>(D1-0.45*D2)-0.78*D2*LN(-LN(0.5))</f>
        <v/>
      </c>
    </row>
    <row r="13">
      <c r="A13" t="n">
        <v>30</v>
      </c>
      <c r="C13" t="inlineStr">
        <is>
          <t>normal_T10</t>
        </is>
      </c>
      <c r="D13">
        <f>_xlfn.NORM.INV(0.9,D1,D2)</f>
        <v/>
      </c>
    </row>
    <row r="14">
      <c r="A14" t="n">
        <v>215</v>
      </c>
      <c r="C14" t="inlineStr">
        <is>
          <t>lognormal2p_T10</t>
        </is>
      </c>
      <c r="D14">
        <f>_xlfn.LOGNORM.INV(0.9,D7,D8)</f>
        <v/>
      </c>
    </row>
    <row r="15">
      <c r="A15" t="n">
        <v>1.7</v>
      </c>
      <c r="C15" t="inlineStr">
        <is>
          <t>gamma2p_T10</t>
        </is>
      </c>
      <c r="D15">
        <f>_xlfn.GAMMA.INV(0.9,(D1/D2)^2,D2^2/D1)</f>
        <v/>
      </c>
    </row>
    <row r="16">
      <c r="A16" t="n">
        <v>57</v>
      </c>
      <c r="C16" t="inlineStr">
        <is>
          <t>gumbel_T10</t>
        </is>
      </c>
      <c r="D16">
        <f>(D1-0.45*D2)-0.78*D2*LN(-LN(0.9))</f>
        <v/>
      </c>
    </row>
    <row r="17">
      <c r="A17" t="n">
        <v>125</v>
      </c>
      <c r="C17" t="inlineStr">
        <is>
          <t>normal_T100</t>
        </is>
      </c>
      <c r="D17">
        <f>_xlfn.NORM.INV(0.99,D1,D2)</f>
        <v/>
      </c>
    </row>
    <row r="18">
      <c r="A18" t="n">
        <v>30</v>
      </c>
      <c r="C18" t="inlineStr">
        <is>
          <t>lognormal2p_T100</t>
        </is>
      </c>
      <c r="D18">
        <f>_xlfn.LOGNORM.INV(0.99,D7,D8)</f>
        <v/>
      </c>
    </row>
    <row r="19">
      <c r="A19" t="n">
        <v>64</v>
      </c>
      <c r="C19" t="inlineStr">
        <is>
          <t>gamma2p_T100</t>
        </is>
      </c>
      <c r="D19">
        <f>_xlfn.GAMMA.INV(0.99,(D1/D2)^2,D2^2/D1)</f>
        <v/>
      </c>
    </row>
    <row r="20">
      <c r="A20" t="n">
        <v>40</v>
      </c>
      <c r="C20" t="inlineStr">
        <is>
          <t>gumbel_T100</t>
        </is>
      </c>
      <c r="D20">
        <f>(D1-0.45*D2)-0.78*D2*LN(-LN(0.99))</f>
        <v/>
      </c>
    </row>
    <row r="21">
      <c r="A21" t="n">
        <v>78</v>
      </c>
    </row>
    <row r="22">
      <c r="A22" t="n">
        <v>89</v>
      </c>
    </row>
    <row r="23">
      <c r="A23" t="n">
        <v>2.8</v>
      </c>
    </row>
    <row r="24">
      <c r="A24" t="n">
        <v>3.4</v>
      </c>
    </row>
    <row r="25">
      <c r="A25" t="n">
        <v>26</v>
      </c>
    </row>
    <row r="26">
      <c r="A26" t="n">
        <v>31</v>
      </c>
    </row>
    <row r="27">
      <c r="A27" t="n">
        <v>24</v>
      </c>
    </row>
    <row r="28">
      <c r="A28" t="n">
        <v>18</v>
      </c>
    </row>
    <row r="29">
      <c r="A29" t="n">
        <v>14</v>
      </c>
    </row>
    <row r="30">
      <c r="A30" t="n">
        <v>0.9</v>
      </c>
    </row>
    <row r="31">
      <c r="A31" t="n">
        <v>31</v>
      </c>
    </row>
    <row r="32">
      <c r="A32" t="n">
        <v>9</v>
      </c>
    </row>
    <row r="33">
      <c r="A33" t="n">
        <v>57</v>
      </c>
    </row>
    <row r="34">
      <c r="A34" t="n">
        <v>1.3</v>
      </c>
    </row>
    <row r="35">
      <c r="A35" t="n">
        <v>2.3</v>
      </c>
    </row>
    <row r="36">
      <c r="A36" t="n">
        <v>19</v>
      </c>
    </row>
    <row r="37">
      <c r="A37" t="n">
        <v>33</v>
      </c>
    </row>
    <row r="38">
      <c r="A38" t="n">
        <v>45</v>
      </c>
    </row>
    <row r="39">
      <c r="A39" t="n">
        <v>89</v>
      </c>
    </row>
    <row r="40">
      <c r="A40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AVERAGE(A2:A39)</f>
        <v/>
      </c>
    </row>
    <row r="2">
      <c r="A2" t="n">
        <v>30</v>
      </c>
      <c r="C2" t="inlineStr">
        <is>
          <t>desvio_s</t>
        </is>
      </c>
      <c r="D2">
        <f>_xlfn.STDEV.S(A2:A39)</f>
        <v/>
      </c>
    </row>
    <row r="3">
      <c r="A3" t="n">
        <v>18</v>
      </c>
      <c r="C3" t="inlineStr">
        <is>
          <t>asimetria_skew</t>
        </is>
      </c>
      <c r="D3">
        <f>SKEW(A2:A39)</f>
        <v/>
      </c>
    </row>
    <row r="4">
      <c r="A4" t="n">
        <v>36</v>
      </c>
      <c r="C4" t="inlineStr">
        <is>
          <t>curtosis_kurt</t>
        </is>
      </c>
      <c r="D4">
        <f>KURT(A2:A39)</f>
        <v/>
      </c>
    </row>
    <row r="5">
      <c r="A5" t="n">
        <v>29</v>
      </c>
      <c r="C5" t="inlineStr">
        <is>
          <t>correl_lag1</t>
        </is>
      </c>
      <c r="D5">
        <f>CORREL(A2:A38,A3:A39)</f>
        <v/>
      </c>
    </row>
    <row r="6">
      <c r="A6" t="n">
        <v>103</v>
      </c>
      <c r="C6" t="inlineStr">
        <is>
          <t>ttest_p</t>
        </is>
      </c>
      <c r="D6">
        <f>_xlfn.T.TEST(A2:A20,A21:A39,2,2)</f>
        <v/>
      </c>
    </row>
    <row r="7">
      <c r="A7" t="n">
        <v>96</v>
      </c>
      <c r="C7" t="inlineStr">
        <is>
          <t>mu_y</t>
        </is>
      </c>
      <c r="D7">
        <f>SUMPRODUCT(LN(A2:A39))/38</f>
        <v/>
      </c>
    </row>
    <row r="8">
      <c r="A8" t="n">
        <v>63</v>
      </c>
      <c r="C8" t="inlineStr">
        <is>
          <t>sigma_y</t>
        </is>
      </c>
      <c r="D8">
        <f>SQRT(SUMPRODUCT((LN(A2:A39)-SUMPRODUCT(LN(A2:A39))/38)^2)/37)</f>
        <v/>
      </c>
    </row>
    <row r="9">
      <c r="A9" t="n">
        <v>23</v>
      </c>
      <c r="C9" t="inlineStr">
        <is>
          <t>normal_T2</t>
        </is>
      </c>
      <c r="D9">
        <f>_xlfn.NORM.INV(0.5,D1,D2)</f>
        <v/>
      </c>
    </row>
    <row r="10">
      <c r="A10" t="n">
        <v>21</v>
      </c>
      <c r="C10" t="inlineStr">
        <is>
          <t>lognormal2p_T2</t>
        </is>
      </c>
      <c r="D10">
        <f>_xlfn.LOGNORM.INV(0.5,D7,D8)</f>
        <v/>
      </c>
    </row>
    <row r="11">
      <c r="A11" t="n">
        <v>16</v>
      </c>
      <c r="C11" t="inlineStr">
        <is>
          <t>gamma2p_T2</t>
        </is>
      </c>
      <c r="D11">
        <f>_xlfn.GAMMA.INV(0.5,(D1/D2)^2,D2^2/D1)</f>
        <v/>
      </c>
    </row>
    <row r="12">
      <c r="A12" t="n">
        <v>25</v>
      </c>
      <c r="C12" t="inlineStr">
        <is>
          <t>gumbel_T2</t>
        </is>
      </c>
      <c r="D12">
        <f>(D1-0.45*D2)-0.78*D2*LN(-LN(0.5))</f>
        <v/>
      </c>
    </row>
    <row r="13">
      <c r="A13" t="n">
        <v>51</v>
      </c>
      <c r="C13" t="inlineStr">
        <is>
          <t>normal_T10</t>
        </is>
      </c>
      <c r="D13">
        <f>_xlfn.NORM.INV(0.9,D1,D2)</f>
        <v/>
      </c>
    </row>
    <row r="14">
      <c r="A14" t="n">
        <v>21</v>
      </c>
      <c r="C14" t="inlineStr">
        <is>
          <t>lognormal2p_T10</t>
        </is>
      </c>
      <c r="D14">
        <f>_xlfn.LOGNORM.INV(0.9,D7,D8)</f>
        <v/>
      </c>
    </row>
    <row r="15">
      <c r="A15" t="n">
        <v>109</v>
      </c>
      <c r="C15" t="inlineStr">
        <is>
          <t>gamma2p_T10</t>
        </is>
      </c>
      <c r="D15">
        <f>_xlfn.GAMMA.INV(0.9,(D1/D2)^2,D2^2/D1)</f>
        <v/>
      </c>
    </row>
    <row r="16">
      <c r="A16" t="n">
        <v>64</v>
      </c>
      <c r="C16" t="inlineStr">
        <is>
          <t>gumbel_T10</t>
        </is>
      </c>
      <c r="D16">
        <f>(D1-0.45*D2)-0.78*D2*LN(-LN(0.9))</f>
        <v/>
      </c>
    </row>
    <row r="17">
      <c r="A17" t="n">
        <v>70</v>
      </c>
      <c r="C17" t="inlineStr">
        <is>
          <t>normal_T100</t>
        </is>
      </c>
      <c r="D17">
        <f>_xlfn.NORM.INV(0.99,D1,D2)</f>
        <v/>
      </c>
    </row>
    <row r="18">
      <c r="A18" t="n">
        <v>36</v>
      </c>
      <c r="C18" t="inlineStr">
        <is>
          <t>lognormal2p_T100</t>
        </is>
      </c>
      <c r="D18">
        <f>_xlfn.LOGNORM.INV(0.99,D7,D8)</f>
        <v/>
      </c>
    </row>
    <row r="19">
      <c r="A19" t="n">
        <v>54</v>
      </c>
      <c r="C19" t="inlineStr">
        <is>
          <t>gamma2p_T100</t>
        </is>
      </c>
      <c r="D19">
        <f>_xlfn.GAMMA.INV(0.99,(D1/D2)^2,D2^2/D1)</f>
        <v/>
      </c>
    </row>
    <row r="20">
      <c r="A20" t="n">
        <v>46</v>
      </c>
      <c r="C20" t="inlineStr">
        <is>
          <t>gumbel_T100</t>
        </is>
      </c>
      <c r="D20">
        <f>(D1-0.45*D2)-0.78*D2*LN(-LN(0.99))</f>
        <v/>
      </c>
    </row>
    <row r="21">
      <c r="A21" t="n">
        <v>72</v>
      </c>
    </row>
    <row r="22">
      <c r="A22" t="n">
        <v>47</v>
      </c>
    </row>
    <row r="23">
      <c r="A23" t="n">
        <v>99</v>
      </c>
    </row>
    <row r="24">
      <c r="A24" t="n">
        <v>21</v>
      </c>
    </row>
    <row r="25">
      <c r="A25" t="n">
        <v>18</v>
      </c>
    </row>
    <row r="26">
      <c r="A26" t="n">
        <v>24</v>
      </c>
    </row>
    <row r="27">
      <c r="A27" t="n">
        <v>19</v>
      </c>
    </row>
    <row r="28">
      <c r="A28" t="n">
        <v>43</v>
      </c>
    </row>
    <row r="29">
      <c r="A29" t="n">
        <v>26</v>
      </c>
    </row>
    <row r="30">
      <c r="A30" t="n">
        <v>20</v>
      </c>
    </row>
    <row r="31">
      <c r="A31" t="n">
        <v>23</v>
      </c>
    </row>
    <row r="32">
      <c r="A32" t="n">
        <v>55</v>
      </c>
    </row>
    <row r="33">
      <c r="A33" t="n">
        <v>48</v>
      </c>
    </row>
    <row r="34">
      <c r="A34" t="n">
        <v>32</v>
      </c>
    </row>
    <row r="35">
      <c r="A35" t="n">
        <v>26</v>
      </c>
    </row>
    <row r="36">
      <c r="A36" t="n">
        <v>14</v>
      </c>
    </row>
    <row r="37">
      <c r="A37" t="n">
        <v>104</v>
      </c>
    </row>
    <row r="38">
      <c r="A38" t="n">
        <v>50</v>
      </c>
    </row>
    <row r="39">
      <c r="A39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AVERAGE(A2:A20)</f>
        <v/>
      </c>
    </row>
    <row r="2">
      <c r="A2" t="n">
        <v>77.7</v>
      </c>
      <c r="C2" t="inlineStr">
        <is>
          <t>desvio_s</t>
        </is>
      </c>
      <c r="D2">
        <f>_xlfn.STDEV.S(A2:A20)</f>
        <v/>
      </c>
    </row>
    <row r="3">
      <c r="A3" t="n">
        <v>42.3</v>
      </c>
      <c r="C3" t="inlineStr">
        <is>
          <t>asimetria_skew</t>
        </is>
      </c>
      <c r="D3">
        <f>SKEW(A2:A20)</f>
        <v/>
      </c>
    </row>
    <row r="4">
      <c r="A4" t="n">
        <v>53.5</v>
      </c>
      <c r="C4" t="inlineStr">
        <is>
          <t>curtosis_kurt</t>
        </is>
      </c>
      <c r="D4">
        <f>KURT(A2:A20)</f>
        <v/>
      </c>
    </row>
    <row r="5">
      <c r="A5" t="n">
        <v>51.2</v>
      </c>
      <c r="C5" t="inlineStr">
        <is>
          <t>correl_lag1</t>
        </is>
      </c>
      <c r="D5">
        <f>CORREL(A2:A19,A3:A20)</f>
        <v/>
      </c>
    </row>
    <row r="6">
      <c r="A6" t="n">
        <v>85.5</v>
      </c>
      <c r="C6" t="inlineStr">
        <is>
          <t>ttest_p</t>
        </is>
      </c>
      <c r="D6">
        <f>_xlfn.T.TEST(A2:A10,A11:A20,2,2)</f>
        <v/>
      </c>
    </row>
    <row r="7">
      <c r="A7" t="n">
        <v>102</v>
      </c>
      <c r="C7" t="inlineStr">
        <is>
          <t>mu_y</t>
        </is>
      </c>
      <c r="D7">
        <f>SUMPRODUCT(LN(A2:A20))/19</f>
        <v/>
      </c>
    </row>
    <row r="8">
      <c r="A8" t="n">
        <v>22.4</v>
      </c>
      <c r="C8" t="inlineStr">
        <is>
          <t>sigma_y</t>
        </is>
      </c>
      <c r="D8">
        <f>SQRT(SUMPRODUCT((LN(A2:A20)-SUMPRODUCT(LN(A2:A20))/19)^2)/18)</f>
        <v/>
      </c>
    </row>
    <row r="9">
      <c r="A9" t="n">
        <v>39.3</v>
      </c>
      <c r="C9" t="inlineStr">
        <is>
          <t>normal_T2</t>
        </is>
      </c>
      <c r="D9">
        <f>_xlfn.NORM.INV(0.5,D1,D2)</f>
        <v/>
      </c>
    </row>
    <row r="10">
      <c r="A10" t="n">
        <v>21.8</v>
      </c>
      <c r="C10" t="inlineStr">
        <is>
          <t>lognormal2p_T2</t>
        </is>
      </c>
      <c r="D10">
        <f>_xlfn.LOGNORM.INV(0.5,D7,D8)</f>
        <v/>
      </c>
    </row>
    <row r="11">
      <c r="A11" t="n">
        <v>27</v>
      </c>
      <c r="C11" t="inlineStr">
        <is>
          <t>gamma2p_T2</t>
        </is>
      </c>
      <c r="D11">
        <f>_xlfn.GAMMA.INV(0.5,(D1/D2)^2,D2^2/D1)</f>
        <v/>
      </c>
    </row>
    <row r="12">
      <c r="A12" t="n">
        <v>32.9</v>
      </c>
      <c r="C12" t="inlineStr">
        <is>
          <t>gumbel_T2</t>
        </is>
      </c>
      <c r="D12">
        <f>(D1-0.45*D2)-0.78*D2*LN(-LN(0.5))</f>
        <v/>
      </c>
    </row>
    <row r="13">
      <c r="A13" t="n">
        <v>61.9</v>
      </c>
      <c r="C13" t="inlineStr">
        <is>
          <t>normal_T10</t>
        </is>
      </c>
      <c r="D13">
        <f>_xlfn.NORM.INV(0.9,D1,D2)</f>
        <v/>
      </c>
    </row>
    <row r="14">
      <c r="A14" t="n">
        <v>36.8</v>
      </c>
      <c r="C14" t="inlineStr">
        <is>
          <t>lognormal2p_T10</t>
        </is>
      </c>
      <c r="D14">
        <f>_xlfn.LOGNORM.INV(0.9,D7,D8)</f>
        <v/>
      </c>
    </row>
    <row r="15">
      <c r="A15" t="n">
        <v>60.3</v>
      </c>
      <c r="C15" t="inlineStr">
        <is>
          <t>gamma2p_T10</t>
        </is>
      </c>
      <c r="D15">
        <f>_xlfn.GAMMA.INV(0.9,(D1/D2)^2,D2^2/D1)</f>
        <v/>
      </c>
    </row>
    <row r="16">
      <c r="A16" t="n">
        <v>11.8</v>
      </c>
      <c r="C16" t="inlineStr">
        <is>
          <t>gumbel_T10</t>
        </is>
      </c>
      <c r="D16">
        <f>(D1-0.45*D2)-0.78*D2*LN(-LN(0.9))</f>
        <v/>
      </c>
    </row>
    <row r="17">
      <c r="A17" t="n">
        <v>46.4</v>
      </c>
      <c r="C17" t="inlineStr">
        <is>
          <t>normal_T100</t>
        </is>
      </c>
      <c r="D17">
        <f>_xlfn.NORM.INV(0.99,D1,D2)</f>
        <v/>
      </c>
    </row>
    <row r="18">
      <c r="A18" t="n">
        <v>69.8</v>
      </c>
      <c r="C18" t="inlineStr">
        <is>
          <t>lognormal2p_T100</t>
        </is>
      </c>
      <c r="D18">
        <f>_xlfn.LOGNORM.INV(0.99,D7,D8)</f>
        <v/>
      </c>
    </row>
    <row r="19">
      <c r="A19" t="n">
        <v>120</v>
      </c>
      <c r="C19" t="inlineStr">
        <is>
          <t>gamma2p_T100</t>
        </is>
      </c>
      <c r="D19">
        <f>_xlfn.GAMMA.INV(0.99,(D1/D2)^2,D2^2/D1)</f>
        <v/>
      </c>
    </row>
    <row r="20">
      <c r="A20" t="n">
        <v>38.6</v>
      </c>
      <c r="C20" t="inlineStr">
        <is>
          <t>gumbel_T100</t>
        </is>
      </c>
      <c r="D20">
        <f>(D1-0.45*D2)-0.78*D2*LN(-LN(0.99))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C1" t="inlineStr">
        <is>
          <t>media</t>
        </is>
      </c>
      <c r="D1">
        <f>AVERAGE(A2:A44)</f>
        <v/>
      </c>
    </row>
    <row r="2">
      <c r="A2" t="n">
        <v>295.92</v>
      </c>
      <c r="C2" t="inlineStr">
        <is>
          <t>desvio_s</t>
        </is>
      </c>
      <c r="D2">
        <f>_xlfn.STDEV.S(A2:A44)</f>
        <v/>
      </c>
    </row>
    <row r="3">
      <c r="A3" t="n">
        <v>250.07</v>
      </c>
      <c r="C3" t="inlineStr">
        <is>
          <t>asimetria_skew</t>
        </is>
      </c>
      <c r="D3">
        <f>SKEW(A2:A44)</f>
        <v/>
      </c>
    </row>
    <row r="4">
      <c r="A4" t="n">
        <v>191.15</v>
      </c>
      <c r="C4" t="inlineStr">
        <is>
          <t>curtosis_kurt</t>
        </is>
      </c>
      <c r="D4">
        <f>KURT(A2:A44)</f>
        <v/>
      </c>
    </row>
    <row r="5">
      <c r="A5" t="n">
        <v>165.3</v>
      </c>
      <c r="C5" t="inlineStr">
        <is>
          <t>correl_lag1</t>
        </is>
      </c>
      <c r="D5">
        <f>CORREL(A2:A43,A3:A44)</f>
        <v/>
      </c>
    </row>
    <row r="6">
      <c r="A6" t="n">
        <v>333.7</v>
      </c>
      <c r="C6" t="inlineStr">
        <is>
          <t>ttest_p</t>
        </is>
      </c>
      <c r="D6">
        <f>_xlfn.T.TEST(A2:A22,A23:A44,2,2)</f>
        <v/>
      </c>
    </row>
    <row r="7">
      <c r="A7" t="n">
        <v>328</v>
      </c>
      <c r="C7" t="inlineStr">
        <is>
          <t>mu_y</t>
        </is>
      </c>
      <c r="D7">
        <f>SUMPRODUCT(LN(A2:A44))/43</f>
        <v/>
      </c>
    </row>
    <row r="8">
      <c r="A8" t="n">
        <v>159.8</v>
      </c>
      <c r="C8" t="inlineStr">
        <is>
          <t>sigma_y</t>
        </is>
      </c>
      <c r="D8">
        <f>SQRT(SUMPRODUCT((LN(A2:A44)-SUMPRODUCT(LN(A2:A44))/43)^2)/42)</f>
        <v/>
      </c>
    </row>
    <row r="9">
      <c r="A9" t="n">
        <v>100</v>
      </c>
      <c r="C9" t="inlineStr">
        <is>
          <t>normal_T2</t>
        </is>
      </c>
      <c r="D9">
        <f>_xlfn.NORM.INV(0.5,D1,D2)</f>
        <v/>
      </c>
    </row>
    <row r="10">
      <c r="A10" t="n">
        <v>61.7</v>
      </c>
      <c r="C10" t="inlineStr">
        <is>
          <t>lognormal2p_T2</t>
        </is>
      </c>
      <c r="D10">
        <f>_xlfn.LOGNORM.INV(0.5,D7,D8)</f>
        <v/>
      </c>
    </row>
    <row r="11">
      <c r="A11" t="n">
        <v>39.2</v>
      </c>
      <c r="C11" t="inlineStr">
        <is>
          <t>gamma2p_T2</t>
        </is>
      </c>
      <c r="D11">
        <f>_xlfn.GAMMA.INV(0.5,(D1/D2)^2,D2^2/D1)</f>
        <v/>
      </c>
    </row>
    <row r="12">
      <c r="A12" t="n">
        <v>75.5</v>
      </c>
      <c r="C12" t="inlineStr">
        <is>
          <t>gumbel_T2</t>
        </is>
      </c>
      <c r="D12">
        <f>(D1-0.45*D2)-0.78*D2*LN(-LN(0.5))</f>
        <v/>
      </c>
    </row>
    <row r="13">
      <c r="A13" t="n">
        <v>180.6</v>
      </c>
      <c r="C13" t="inlineStr">
        <is>
          <t>normal_T10</t>
        </is>
      </c>
      <c r="D13">
        <f>_xlfn.NORM.INV(0.9,D1,D2)</f>
        <v/>
      </c>
    </row>
    <row r="14">
      <c r="A14" t="n">
        <v>121.6</v>
      </c>
      <c r="C14" t="inlineStr">
        <is>
          <t>lognormal2p_T10</t>
        </is>
      </c>
      <c r="D14">
        <f>_xlfn.LOGNORM.INV(0.9,D7,D8)</f>
        <v/>
      </c>
    </row>
    <row r="15">
      <c r="A15" t="n">
        <v>115.7</v>
      </c>
      <c r="C15" t="inlineStr">
        <is>
          <t>gamma2p_T10</t>
        </is>
      </c>
      <c r="D15">
        <f>_xlfn.GAMMA.INV(0.9,(D1/D2)^2,D2^2/D1)</f>
        <v/>
      </c>
    </row>
    <row r="16">
      <c r="A16" t="n">
        <v>111.82</v>
      </c>
      <c r="C16" t="inlineStr">
        <is>
          <t>gumbel_T10</t>
        </is>
      </c>
      <c r="D16">
        <f>(D1-0.45*D2)-0.78*D2*LN(-LN(0.9))</f>
        <v/>
      </c>
    </row>
    <row r="17">
      <c r="A17" t="n">
        <v>253.5</v>
      </c>
      <c r="C17" t="inlineStr">
        <is>
          <t>normal_T100</t>
        </is>
      </c>
      <c r="D17">
        <f>_xlfn.NORM.INV(0.99,D1,D2)</f>
        <v/>
      </c>
    </row>
    <row r="18">
      <c r="A18" t="n">
        <v>115.7</v>
      </c>
      <c r="C18" t="inlineStr">
        <is>
          <t>lognormal2p_T100</t>
        </is>
      </c>
      <c r="D18">
        <f>_xlfn.LOGNORM.INV(0.99,D7,D8)</f>
        <v/>
      </c>
    </row>
    <row r="19">
      <c r="A19" t="n">
        <v>114.7</v>
      </c>
      <c r="C19" t="inlineStr">
        <is>
          <t>gamma2p_T100</t>
        </is>
      </c>
      <c r="D19">
        <f>_xlfn.GAMMA.INV(0.99,(D1/D2)^2,D2^2/D1)</f>
        <v/>
      </c>
    </row>
    <row r="20">
      <c r="A20" t="n">
        <v>165.8</v>
      </c>
      <c r="C20" t="inlineStr">
        <is>
          <t>gumbel_T100</t>
        </is>
      </c>
      <c r="D20">
        <f>(D1-0.45*D2)-0.78*D2*LN(-LN(0.99))</f>
        <v/>
      </c>
    </row>
    <row r="21">
      <c r="A21" t="n">
        <v>233.9</v>
      </c>
    </row>
    <row r="22">
      <c r="A22" t="n">
        <v>205.6</v>
      </c>
    </row>
    <row r="23">
      <c r="A23" t="n">
        <v>256.54</v>
      </c>
    </row>
    <row r="24">
      <c r="A24" t="n">
        <v>160.04</v>
      </c>
    </row>
    <row r="25">
      <c r="A25" t="n">
        <v>224.96</v>
      </c>
    </row>
    <row r="26">
      <c r="A26" t="n">
        <v>407.9</v>
      </c>
    </row>
    <row r="27">
      <c r="A27" t="n">
        <v>141.4</v>
      </c>
    </row>
    <row r="28">
      <c r="A28" t="n">
        <v>105.8</v>
      </c>
    </row>
    <row r="29">
      <c r="A29" t="n">
        <v>75.2</v>
      </c>
    </row>
    <row r="30">
      <c r="A30" t="n">
        <v>122.5</v>
      </c>
    </row>
    <row r="31">
      <c r="A31" t="n">
        <v>195.86</v>
      </c>
    </row>
    <row r="32">
      <c r="A32" t="n">
        <v>88.65000000000001</v>
      </c>
    </row>
    <row r="33">
      <c r="A33" t="n">
        <v>202.28</v>
      </c>
    </row>
    <row r="34">
      <c r="A34" t="n">
        <v>292.3</v>
      </c>
    </row>
    <row r="35">
      <c r="A35" t="n">
        <v>86</v>
      </c>
    </row>
    <row r="36">
      <c r="A36" t="n">
        <v>84.40000000000001</v>
      </c>
    </row>
    <row r="37">
      <c r="A37" t="n">
        <v>81.2</v>
      </c>
    </row>
    <row r="38">
      <c r="A38" t="n">
        <v>44.1</v>
      </c>
    </row>
    <row r="39">
      <c r="A39" t="n">
        <v>138.2</v>
      </c>
    </row>
    <row r="40">
      <c r="A40" t="n">
        <v>47.2</v>
      </c>
    </row>
    <row r="41">
      <c r="A41" t="n">
        <v>71.59999999999999</v>
      </c>
    </row>
    <row r="42">
      <c r="A42" t="n">
        <v>84.3</v>
      </c>
    </row>
    <row r="43">
      <c r="A43" t="n">
        <v>142.5</v>
      </c>
    </row>
    <row r="44">
      <c r="A44" t="n">
        <v>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2026-10-08T14:31:27Z</dcterms:created>
  <dcterms:modified xsi:type="dcterms:W3CDTF">2026-10-08T14:31:27Z</dcterms:modified>
</cp:coreProperties>
</file>